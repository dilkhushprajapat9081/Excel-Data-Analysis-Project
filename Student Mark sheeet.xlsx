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9726D4F-8348-4A88-900B-F4412E73DF87}" xr6:coauthVersionLast="47" xr6:coauthVersionMax="47" xr10:uidLastSave="{00000000-0000-0000-0000-000000000000}"/>
  <bookViews>
    <workbookView xWindow="-120" yWindow="-120" windowWidth="29040" windowHeight="15840" xr2:uid="{A0AB6A0E-D804-41DE-BA4B-464D35B19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3" i="1"/>
  <c r="K4" i="1"/>
  <c r="K5" i="1"/>
  <c r="K6" i="1"/>
  <c r="K7" i="1"/>
  <c r="K3" i="1"/>
  <c r="J4" i="1"/>
  <c r="J5" i="1"/>
  <c r="J6" i="1"/>
  <c r="J7" i="1"/>
  <c r="J3" i="1"/>
  <c r="I4" i="1"/>
  <c r="I5" i="1"/>
  <c r="I6" i="1"/>
  <c r="I7" i="1"/>
  <c r="I3" i="1"/>
  <c r="H4" i="1"/>
  <c r="H5" i="1"/>
  <c r="H6" i="1"/>
  <c r="H7" i="1"/>
  <c r="H3" i="1"/>
  <c r="G4" i="1"/>
  <c r="G5" i="1"/>
  <c r="G6" i="1"/>
  <c r="G7" i="1"/>
  <c r="G3" i="1"/>
  <c r="F4" i="1"/>
  <c r="F5" i="1"/>
  <c r="F6" i="1"/>
  <c r="F7" i="1"/>
  <c r="F3" i="1"/>
</calcChain>
</file>

<file path=xl/sharedStrings.xml><?xml version="1.0" encoding="utf-8"?>
<sst xmlns="http://schemas.openxmlformats.org/spreadsheetml/2006/main" count="18" uniqueCount="18">
  <si>
    <t xml:space="preserve">STUDENT MARK SHEET </t>
  </si>
  <si>
    <t>RAM</t>
  </si>
  <si>
    <t>ANIL</t>
  </si>
  <si>
    <t>IMARAN</t>
  </si>
  <si>
    <t>MAHESH</t>
  </si>
  <si>
    <t>PINTU</t>
  </si>
  <si>
    <t>NAME</t>
  </si>
  <si>
    <t>ENG.</t>
  </si>
  <si>
    <t>HIN.</t>
  </si>
  <si>
    <t>SCIE.</t>
  </si>
  <si>
    <t>MATH</t>
  </si>
  <si>
    <t>TOTAL</t>
  </si>
  <si>
    <t>PERC.</t>
  </si>
  <si>
    <t>RESULT</t>
  </si>
  <si>
    <t>DIVI.</t>
  </si>
  <si>
    <t>GIFT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</si>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</sst>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theme="5" tint="-0.49998474074526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73BCC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3BCCB"/>
      <color rgb="FF92C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DAFA-97AE-44C0-8247-E119B8F4F405}">
  <dimension ref="A1:L7"/>
  <sheetViews>
    <sheetView tabSelected="1" zoomScale="160" zoomScaleNormal="160" workbookViewId="0">
      <selection activeCell="M30" sqref="M30"/>
    </sheetView>
  </sheetViews>
  <sheetFormatPr defaultRowHeight="15" x14ac:dyDescent="0.25"/>
  <cols>
    <col min="10" max="10" width="10.85546875" bestFit="1" customWidth="1"/>
  </cols>
  <sheetData>
    <row r="1" spans="1:12" ht="21.75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5.75" thickBot="1" x14ac:dyDescent="0.3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</row>
    <row r="3" spans="1:12" ht="15.75" thickBot="1" x14ac:dyDescent="0.3">
      <c r="A3" s="5" t="s">
        <v>1</v>
      </c>
      <c r="B3" s="6">
        <v>90</v>
      </c>
      <c r="C3" s="6">
        <v>98</v>
      </c>
      <c r="D3" s="6">
        <v>97</v>
      </c>
      <c r="E3" s="6">
        <v>92</v>
      </c>
      <c r="F3" s="7">
        <f>SUM(B3:E3)</f>
        <v>377</v>
      </c>
      <c r="G3" s="8">
        <f>F3/400*100</f>
        <v>94.25</v>
      </c>
      <c r="H3" s="9" t="str">
        <f>IF(G3&lt;36,"FAIL","PASS")</f>
        <v>PASS</v>
      </c>
      <c r="I3" s="10" t="str">
        <f>IF(G3&lt;36,"FAIL",IF(G3&lt;45,"IIIDEV",IF(G3&lt;60,"IIDIV",IF(G3&lt;90,"IDIV","MERIT"))))</f>
        <v>MERIT</v>
      </c>
      <c r="J3" s="11" t="str">
        <f>IF(G3&lt;45,"PAN",IF(G3&lt;60,"BOOKS",IF(G3&lt;80,"COMPUTER",IF(G3&lt;90,"LEPTOP","CAR"))))</f>
        <v>CAR</v>
      </c>
      <c r="K3" s="11">
        <f>MAX(B3:E3)</f>
        <v>98</v>
      </c>
      <c r="L3" s="12">
        <f>MIN(B3:E3)</f>
        <v>90</v>
      </c>
    </row>
    <row r="4" spans="1:12" ht="15.75" thickBot="1" x14ac:dyDescent="0.3">
      <c r="A4" s="5" t="s">
        <v>2</v>
      </c>
      <c r="B4" s="6">
        <v>65</v>
      </c>
      <c r="C4" s="6">
        <v>87</v>
      </c>
      <c r="D4" s="6">
        <v>89</v>
      </c>
      <c r="E4" s="6">
        <v>78</v>
      </c>
      <c r="F4" s="7">
        <f t="shared" ref="F4:F7" si="0">SUM(B4:E4)</f>
        <v>319</v>
      </c>
      <c r="G4" s="8">
        <f t="shared" ref="G4:G7" si="1">F4/400*100</f>
        <v>79.75</v>
      </c>
      <c r="H4" s="9" t="str">
        <f t="shared" ref="H4:H7" si="2">IF(G4&lt;36,"FAIL","PASS")</f>
        <v>PASS</v>
      </c>
      <c r="I4" s="10" t="str">
        <f t="shared" ref="I4:I7" si="3">IF(G4&lt;36,"FAIL",IF(G4&lt;45,"IIIDEV",IF(G4&lt;60,"IIDIV",IF(G4&lt;90,"IDIV","MERIT"))))</f>
        <v>IDIV</v>
      </c>
      <c r="J4" s="11" t="str">
        <f t="shared" ref="J4:J7" si="4">IF(G4&lt;45,"PAN",IF(G4&lt;60,"BOOKS",IF(G4&lt;80,"COMPUTER",IF(G4&lt;90,"LEPTOP","CAR"))))</f>
        <v>COMPUTER</v>
      </c>
      <c r="K4" s="11">
        <f t="shared" ref="K4:K7" si="5">MAX(B4:E4)</f>
        <v>89</v>
      </c>
      <c r="L4" s="12">
        <f t="shared" ref="L4:L7" si="6">MIN(B4:E4)</f>
        <v>65</v>
      </c>
    </row>
    <row r="5" spans="1:12" ht="15.75" thickBot="1" x14ac:dyDescent="0.3">
      <c r="A5" s="5" t="s">
        <v>3</v>
      </c>
      <c r="B5" s="6">
        <v>45</v>
      </c>
      <c r="C5" s="6">
        <v>30</v>
      </c>
      <c r="D5" s="6">
        <v>60</v>
      </c>
      <c r="E5" s="6">
        <v>40</v>
      </c>
      <c r="F5" s="7">
        <f t="shared" si="0"/>
        <v>175</v>
      </c>
      <c r="G5" s="8">
        <f t="shared" si="1"/>
        <v>43.75</v>
      </c>
      <c r="H5" s="9" t="str">
        <f t="shared" si="2"/>
        <v>PASS</v>
      </c>
      <c r="I5" s="10" t="str">
        <f t="shared" si="3"/>
        <v>IIIDEV</v>
      </c>
      <c r="J5" s="11" t="str">
        <f t="shared" si="4"/>
        <v>PAN</v>
      </c>
      <c r="K5" s="11">
        <f t="shared" si="5"/>
        <v>60</v>
      </c>
      <c r="L5" s="12">
        <f t="shared" si="6"/>
        <v>30</v>
      </c>
    </row>
    <row r="6" spans="1:12" ht="15.75" thickBot="1" x14ac:dyDescent="0.3">
      <c r="A6" s="5" t="s">
        <v>4</v>
      </c>
      <c r="B6" s="6">
        <v>58</v>
      </c>
      <c r="C6" s="6">
        <v>59</v>
      </c>
      <c r="D6" s="6">
        <v>52</v>
      </c>
      <c r="E6" s="6">
        <v>55</v>
      </c>
      <c r="F6" s="7">
        <f t="shared" si="0"/>
        <v>224</v>
      </c>
      <c r="G6" s="8">
        <f t="shared" si="1"/>
        <v>56.000000000000007</v>
      </c>
      <c r="H6" s="9" t="str">
        <f t="shared" si="2"/>
        <v>PASS</v>
      </c>
      <c r="I6" s="10" t="str">
        <f t="shared" si="3"/>
        <v>IIDIV</v>
      </c>
      <c r="J6" s="11" t="str">
        <f t="shared" si="4"/>
        <v>BOOKS</v>
      </c>
      <c r="K6" s="11">
        <f t="shared" si="5"/>
        <v>59</v>
      </c>
      <c r="L6" s="12">
        <f t="shared" si="6"/>
        <v>52</v>
      </c>
    </row>
    <row r="7" spans="1:12" ht="15.75" thickBot="1" x14ac:dyDescent="0.3">
      <c r="A7" s="5" t="s">
        <v>5</v>
      </c>
      <c r="B7" s="6">
        <v>80</v>
      </c>
      <c r="C7" s="6">
        <v>30</v>
      </c>
      <c r="D7" s="6">
        <v>13</v>
      </c>
      <c r="E7" s="6">
        <v>18</v>
      </c>
      <c r="F7" s="7">
        <f t="shared" si="0"/>
        <v>141</v>
      </c>
      <c r="G7" s="8">
        <f t="shared" si="1"/>
        <v>35.25</v>
      </c>
      <c r="H7" s="9" t="str">
        <f t="shared" si="2"/>
        <v>FAIL</v>
      </c>
      <c r="I7" s="10" t="str">
        <f t="shared" si="3"/>
        <v>FAIL</v>
      </c>
      <c r="J7" s="11" t="str">
        <f t="shared" si="4"/>
        <v>PAN</v>
      </c>
      <c r="K7" s="11">
        <f t="shared" si="5"/>
        <v>80</v>
      </c>
      <c r="L7" s="12">
        <f t="shared" si="6"/>
        <v>13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DILKHUSH PRAJAPAT</dc:creator>
  <cp:lastModifiedBy>DILKHUSH PRAJAPAT</cp:lastModifiedBy>
  <dcterms:created xsi:type="dcterms:W3CDTF">2026-09-15T11:42:21Z</dcterms:created>
  <dcterms:modified xsi:type="dcterms:W3CDTF">2026-09-15T12:17:04Z</dcterms:modified>
</cp:coreProperties>
</file>